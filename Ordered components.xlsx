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iverud\Documents\PCB\accurate2_eval_pcb\"/>
    </mc:Choice>
  </mc:AlternateContent>
  <xr:revisionPtr revIDLastSave="0" documentId="13_ncr:1_{B25993BC-865A-4E43-979E-CD934F175AF7}" xr6:coauthVersionLast="47" xr6:coauthVersionMax="47" xr10:uidLastSave="{00000000-0000-0000-0000-000000000000}"/>
  <bookViews>
    <workbookView xWindow="-120" yWindow="-120" windowWidth="38640" windowHeight="21120" xr2:uid="{5302CDA9-C6F8-4629-89AF-9F15A1FE46B4}"/>
  </bookViews>
  <sheets>
    <sheet name="Accurate_Eval" sheetId="2" r:id="rId1"/>
    <sheet name="Sheet1" sheetId="1" r:id="rId2"/>
  </sheets>
  <definedNames>
    <definedName name="ExternalData_1" localSheetId="0" hidden="1">Accurate_Eval!$A$1:$F$78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 l="1"/>
  <c r="H8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AA3B5-0942-482F-A246-C375F6E61916}" keepAlive="1" name="Query - Accurate_Eval" description="Connection to the 'Accurate_Eval' query in the workbook." type="5" refreshedVersion="8" background="1" saveData="1">
    <dbPr connection="Provider=Microsoft.Mashup.OleDb.1;Data Source=$Workbook$;Location=Accurate_Eval;Extended Properties=&quot;&quot;" command="SELECT * FROM [Accurate_Eval]"/>
  </connection>
</connections>
</file>

<file path=xl/sharedStrings.xml><?xml version="1.0" encoding="utf-8"?>
<sst xmlns="http://schemas.openxmlformats.org/spreadsheetml/2006/main" count="320" uniqueCount="219">
  <si>
    <t>#</t>
  </si>
  <si>
    <t>Reference</t>
  </si>
  <si>
    <t>Qty</t>
  </si>
  <si>
    <t>Value</t>
  </si>
  <si>
    <t>Footprint</t>
  </si>
  <si>
    <t>DNP</t>
  </si>
  <si>
    <t>B1, B2, B3, B4</t>
  </si>
  <si>
    <t>PLATED_HOLE3.2_PAD5.5</t>
  </si>
  <si>
    <t>Pads:MTG320_550</t>
  </si>
  <si>
    <t/>
  </si>
  <si>
    <t>CC0603_100NF_50V_10%_X7R</t>
  </si>
  <si>
    <t>Capacitors SMD:CAPC1608X87N</t>
  </si>
  <si>
    <t>CC0603_1UF_25V_10%_X7R</t>
  </si>
  <si>
    <t>C10, C11</t>
  </si>
  <si>
    <t>C12, C13</t>
  </si>
  <si>
    <t>CC0603_10NF_50V_10%_X7R</t>
  </si>
  <si>
    <t>C15, C22, C24, C35, C38, C48, C49, C56, C58, C61, C69, C71, C72, C78, C81, C83, C86</t>
  </si>
  <si>
    <t>CC0603_10UF_25V_20%_X5R</t>
  </si>
  <si>
    <t>Capacitors SMD:CAPC1709X100N</t>
  </si>
  <si>
    <t>C16, C17</t>
  </si>
  <si>
    <t>CC0603_4.7UF_6.3V_10%_X5R</t>
  </si>
  <si>
    <t>C21</t>
  </si>
  <si>
    <t>CC0805_3.3UF_10V_10%_X5R</t>
  </si>
  <si>
    <t>Capacitors SMD:CAPC2012X135N</t>
  </si>
  <si>
    <t>C33, C34</t>
  </si>
  <si>
    <t>CC0603_22PF_50V_5%_NP0</t>
  </si>
  <si>
    <t>C59, C60, C63, C64, C65, C66, C67, C68</t>
  </si>
  <si>
    <t>CC0603_470PF_50V_5%_NP0</t>
  </si>
  <si>
    <t>C73</t>
  </si>
  <si>
    <t>CC1206_100NF_50V_10%_X7R</t>
  </si>
  <si>
    <t>Capacitors SMD:CAPC3216X140N</t>
  </si>
  <si>
    <t>D1</t>
  </si>
  <si>
    <t>SMF5.0A</t>
  </si>
  <si>
    <t>ICs And Semiconductors SMD:SODFL3718X108N</t>
  </si>
  <si>
    <t>D2, D5, D7, D14</t>
  </si>
  <si>
    <t>PESD3V3L5UY</t>
  </si>
  <si>
    <t>Package_TO_SOT_SMD:SOT-363_SC-70-6</t>
  </si>
  <si>
    <t>D3</t>
  </si>
  <si>
    <t>CDBU0520-HF</t>
  </si>
  <si>
    <t>ICs And Semiconductors SMD:SOD-523F</t>
  </si>
  <si>
    <t>D4</t>
  </si>
  <si>
    <t>USBLC6-2SC6</t>
  </si>
  <si>
    <t>Package_TO_SOT_SMD:SOT-23-6</t>
  </si>
  <si>
    <t>D6, D8, D9, D12, D15</t>
  </si>
  <si>
    <t>SMBJ3V3</t>
  </si>
  <si>
    <t>ICs And Semiconductors SMD:DIOM5436X244N</t>
  </si>
  <si>
    <t>D10</t>
  </si>
  <si>
    <t>D11, D16</t>
  </si>
  <si>
    <t>1N4148WS</t>
  </si>
  <si>
    <t>Diode_THT:D_DO-41_SOD81_P7.62mm_Horizontal</t>
  </si>
  <si>
    <t>D13</t>
  </si>
  <si>
    <t>CLV1L-FKB</t>
  </si>
  <si>
    <t>LED_SMD:LED_Cree-PLCC4_3.2x2.8mm_CCW</t>
  </si>
  <si>
    <t>DS1</t>
  </si>
  <si>
    <t>DS_MIDAS_MDOB128064V2V-WI</t>
  </si>
  <si>
    <t>ICs And Semiconductors THD:DS_MIDAS_MDOB128064V2V-WI</t>
  </si>
  <si>
    <t>F1</t>
  </si>
  <si>
    <t>FUS0603_BOURNS-SF-0603F050-2</t>
  </si>
  <si>
    <t>Fuses:FUSC_BOURNS_SF-0603F</t>
  </si>
  <si>
    <t>FTG1, FTG2, FTG3, FTG4, FTG5, FTG6</t>
  </si>
  <si>
    <t>FIDUCIAL_TARGET_C100-200</t>
  </si>
  <si>
    <t>Pads:FIDUCIAL_TOP_C100-200</t>
  </si>
  <si>
    <t>IC1</t>
  </si>
  <si>
    <t>LM3880</t>
  </si>
  <si>
    <t>IC2</t>
  </si>
  <si>
    <t>LP5907MFX-3.3</t>
  </si>
  <si>
    <t>Package_TO_SOT_SMD:SOT-23-5</t>
  </si>
  <si>
    <t>IC3</t>
  </si>
  <si>
    <t>LP5907MFX-1.2</t>
  </si>
  <si>
    <t>IC4</t>
  </si>
  <si>
    <t>LP5912-3.3DRV</t>
  </si>
  <si>
    <t>Package_SON:WSON-6-1EP_2x2mm_P0.65mm_EP1x1.6mm_ThermalVias</t>
  </si>
  <si>
    <t>IC5</t>
  </si>
  <si>
    <t>REF196GSZ</t>
  </si>
  <si>
    <t>ICs And Semiconductors SMD:SOIC127P600X175-8N</t>
  </si>
  <si>
    <t>IC6</t>
  </si>
  <si>
    <t>93LC56CT-I_SN</t>
  </si>
  <si>
    <t>IC7</t>
  </si>
  <si>
    <t>FT2232HL</t>
  </si>
  <si>
    <t>Package_QFP:LQFP-64_10x10mm_P0.5mm</t>
  </si>
  <si>
    <t>IC8</t>
  </si>
  <si>
    <t>REF193GS</t>
  </si>
  <si>
    <t>IC9</t>
  </si>
  <si>
    <t>ATSAMD21G18A-MF</t>
  </si>
  <si>
    <t>ICs And Semiconductors SMD:QFN50P700X700X90-49N-S525</t>
  </si>
  <si>
    <t>IC10</t>
  </si>
  <si>
    <t>ICE5LP4K-SG48I</t>
  </si>
  <si>
    <t>ICs And Semiconductors SMD:QFN50P700X700X100-49N-S550</t>
  </si>
  <si>
    <t>IC11</t>
  </si>
  <si>
    <t>MT25QL128ABA1ESE-0SIT</t>
  </si>
  <si>
    <t>ICs And Semiconductors SMD:SOIC127P790X216-8N</t>
  </si>
  <si>
    <t>IC13</t>
  </si>
  <si>
    <t>DAC7578SRGE</t>
  </si>
  <si>
    <t>ICs And Semiconductors SMD:QFN50P400X400X100-25N-S280</t>
  </si>
  <si>
    <t>IC16</t>
  </si>
  <si>
    <t>SHT4x</t>
  </si>
  <si>
    <t>Sensor_Humidity:Sensirion_DFN-4_1.5x1.5mm_P0.8mm_SHT4x_NoCentralPad</t>
  </si>
  <si>
    <t>IC18</t>
  </si>
  <si>
    <t>CERN_ACCURATE_2A</t>
  </si>
  <si>
    <t>ICs And Semiconductors Bonding:CERN_ACCURATE_2A</t>
  </si>
  <si>
    <t>IC19</t>
  </si>
  <si>
    <t>LTC2471IMS</t>
  </si>
  <si>
    <t>ICs And Semiconductors SMD:SOP65P490X110-12N</t>
  </si>
  <si>
    <t>J1</t>
  </si>
  <si>
    <t>PHOENIX_1757242</t>
  </si>
  <si>
    <t>PHOENIX THD:PHOENIX_1757242</t>
  </si>
  <si>
    <t>J2</t>
  </si>
  <si>
    <t>SAMTEC_FTSH-105-01-L-DV-K</t>
  </si>
  <si>
    <t>SAMTEC SMD:SAMTEC_FTSH-105-01-L-DV-K</t>
  </si>
  <si>
    <t>J3</t>
  </si>
  <si>
    <t>LEMO_EPK.00.250.NTN</t>
  </si>
  <si>
    <t>LEMO THD:LEMO_EPK.00.250.NTN</t>
  </si>
  <si>
    <t>J4</t>
  </si>
  <si>
    <t>LEMO_EPL.00.650.NLN</t>
  </si>
  <si>
    <t>LEMO THD:LEMO_EPL.00.650.NLN</t>
  </si>
  <si>
    <t>J5</t>
  </si>
  <si>
    <t>GCT_USB4105-GF-A</t>
  </si>
  <si>
    <t>Miscellaneous SMD:GCT_USB4105-GF-A</t>
  </si>
  <si>
    <t>J6, J17</t>
  </si>
  <si>
    <t>Conn_02x03_Odd_Even</t>
  </si>
  <si>
    <t>Connector_PinHeader_2.54mm:PinHeader_2x03_P2.54mm_Vertical</t>
  </si>
  <si>
    <t>J7, J9</t>
  </si>
  <si>
    <t>Conn_01x08</t>
  </si>
  <si>
    <t>Connector_PinSocket_2.54mm:PinSocket_1x08_P2.54mm_Vertical</t>
  </si>
  <si>
    <t>J8</t>
  </si>
  <si>
    <t>Conn_01x10</t>
  </si>
  <si>
    <t>Connector_PinSocket_2.54mm:PinSocket_1x10_P2.54mm_Vertical</t>
  </si>
  <si>
    <t>J10</t>
  </si>
  <si>
    <t>Conn_01x06</t>
  </si>
  <si>
    <t>Connector_PinSocket_2.54mm:PinSocket_1x06_P2.54mm_Vertical</t>
  </si>
  <si>
    <t>J11</t>
  </si>
  <si>
    <t>Conn_02x02_Odd_Even</t>
  </si>
  <si>
    <t>Connector_PinHeader_2.54mm:PinHeader_2x02_P2.54mm_Vertical</t>
  </si>
  <si>
    <t>J12, J14</t>
  </si>
  <si>
    <t>Conn_01x02</t>
  </si>
  <si>
    <t>Connector_PinHeader_2.54mm:PinHeader_1x02_P2.54mm_Vertical</t>
  </si>
  <si>
    <t>J13</t>
  </si>
  <si>
    <t>Conn_02x05_Odd_Even</t>
  </si>
  <si>
    <t>Connector_PinHeader_2.54mm:PinHeader_2x05_P2.54mm_Vertical</t>
  </si>
  <si>
    <t>J15, J16</t>
  </si>
  <si>
    <t>Conn_02x06_Top_Bottom</t>
  </si>
  <si>
    <t>JP1</t>
  </si>
  <si>
    <t>SolderJumper_2_Bridged</t>
  </si>
  <si>
    <t>Jumper:SolderJumper-2_P1.3mm_Open_RoundedPad1.0x1.5mm</t>
  </si>
  <si>
    <t>L1, L2</t>
  </si>
  <si>
    <t>IND0603_MURATA_BLM18SG221TN1</t>
  </si>
  <si>
    <t>Inductors SMD:INDC1608X95N</t>
  </si>
  <si>
    <t>LD1, LD2, LD3, LD4, LD5, LD6, LD12</t>
  </si>
  <si>
    <t>LED_LITEON_LTST-C193KGKT-5A</t>
  </si>
  <si>
    <t>ICs And Semiconductors SMD:LED_LITEON_LTST-C193KGKT-5A</t>
  </si>
  <si>
    <t>LD7, LD8, LD9, LD10, LD11</t>
  </si>
  <si>
    <t>LED_LITEON_LTST-C193KSKT-5A</t>
  </si>
  <si>
    <t>ICs And Semiconductors SMD:LED_LITEON_LTST-C193KSKT-5A</t>
  </si>
  <si>
    <t>MSBOX1</t>
  </si>
  <si>
    <t>MSBOX_PERANCEA_PFL6T</t>
  </si>
  <si>
    <t>Metal Screening Box:MSBOX_PERANCEA_PFL6T</t>
  </si>
  <si>
    <t>OSC1</t>
  </si>
  <si>
    <t>OSC_12MHZ_ABRACON_ASFL1-12.000MHZ-EC</t>
  </si>
  <si>
    <t>ICs And Semiconductors SMD:OSC_ABRACON_ASFL1</t>
  </si>
  <si>
    <t>OSC2</t>
  </si>
  <si>
    <t>OSC_100MHZ_IQD_LFSPXO022731</t>
  </si>
  <si>
    <t>ICs And Semiconductors SMD:OSC_IQD_CFPS-73</t>
  </si>
  <si>
    <t>PB1, PB2, PB3, PB4</t>
  </si>
  <si>
    <t>PB_C&amp;K_KSC321JLFS</t>
  </si>
  <si>
    <t>Switches:PB_C&amp;K_KSC321J</t>
  </si>
  <si>
    <t>Q1</t>
  </si>
  <si>
    <t>XTAL_32.768KHZ_ABRACON_ABS09-32.768KHZ-T</t>
  </si>
  <si>
    <t>ICs And Semiconductors SMD:XTAL_ABRACON_ABS09</t>
  </si>
  <si>
    <t>R1, R3</t>
  </si>
  <si>
    <t>R0603_5K1_1%_0.1W_100PPM</t>
  </si>
  <si>
    <t>Resistors SMD:RESC1608X55N</t>
  </si>
  <si>
    <t>R0603_1K_1%_0.1W_100PPM</t>
  </si>
  <si>
    <t>R4, R16, R20, R21, R37, R38, R39, R40</t>
  </si>
  <si>
    <t>R0603_10K_1%_0.1W_100PPM</t>
  </si>
  <si>
    <t>R5, R15</t>
  </si>
  <si>
    <t>R0603_330R_1%_0.1W_100PPM</t>
  </si>
  <si>
    <t>R6, R17, R43, R44, R45</t>
  </si>
  <si>
    <t>R0603_2K2_1%_0.1W_100PPM</t>
  </si>
  <si>
    <t>R9, R11, R12</t>
  </si>
  <si>
    <t>R0603_100K_1%_0.1W_100PPM</t>
  </si>
  <si>
    <t>R14, R26, R27, R28</t>
  </si>
  <si>
    <t>R0603_470R_1%_0.1W_100PPM</t>
  </si>
  <si>
    <t>R18</t>
  </si>
  <si>
    <t>R0603_12K_1%_0.1W_100PPM</t>
  </si>
  <si>
    <t>R22, R24, R35, R36</t>
  </si>
  <si>
    <t>R0603_4K7_1%_0.1W_100PPM</t>
  </si>
  <si>
    <t>R23, R25</t>
  </si>
  <si>
    <t>R41</t>
  </si>
  <si>
    <t>R0603_100R_1%_0.1W_100PPM</t>
  </si>
  <si>
    <t>R0603_0R_JUMPER</t>
  </si>
  <si>
    <t>SW1</t>
  </si>
  <si>
    <t>SW_NKK_MS12ANW03</t>
  </si>
  <si>
    <t>Switches:SW_NKK_MS12ANW03</t>
  </si>
  <si>
    <t>SW2, SW3, SW4, SW5, SW6, SW7, SW8, SW9</t>
  </si>
  <si>
    <t>HARWIN_M50-1900005</t>
  </si>
  <si>
    <t>HARWIN THD:HARWIN_M50-1900005</t>
  </si>
  <si>
    <t>T1</t>
  </si>
  <si>
    <t>DMP2066LSN-7</t>
  </si>
  <si>
    <t>Package_TO_SOT_THT:TO-92Flat</t>
  </si>
  <si>
    <t>T2</t>
  </si>
  <si>
    <t>2N7002</t>
  </si>
  <si>
    <t>ICs And Semiconductors SMD:SOT95P240X130-3N</t>
  </si>
  <si>
    <t>TP1, TP2, TP3, TP4, TP5, TP6, TP7, TP8, TP9, TP10, TP11, TP12, TP13, TP14, TP15, TP16, TP17, TP18, TP19, TP20, TP21, TP22, TP23, TP24, TP25, TP26, TP27, TP28, TP29</t>
  </si>
  <si>
    <t>SMD_PAD_1.27X1.27MM</t>
  </si>
  <si>
    <t>Pads:TPS127</t>
  </si>
  <si>
    <t>Will not order</t>
  </si>
  <si>
    <t>Ordered</t>
  </si>
  <si>
    <t>R46, R47, R48, R49, R50, R51, R52, R53, R54</t>
  </si>
  <si>
    <t>Connector_PinSocket_2.54mm:PinSocket_2x06_P2.54mm_Horizontal</t>
  </si>
  <si>
    <t>CC0603_2.2UF_16V_10%_X7R</t>
  </si>
  <si>
    <t>C1, C2, C3,  C14, C18, C19, C20, C23, C25, C26, C27, C28, C29, C30, C31, C32, C36, C37, C39, C41, C42, C43, C44, C45, C46, C47, C50, C51, C52, C53, C54, C55, C57, C62, C70, C74, C75, C76, C77, C79, C80, C82, C84, C85, C87, C88</t>
  </si>
  <si>
    <t>C4, C5, C6, C7, C8, C9, C40, C89</t>
  </si>
  <si>
    <t>R2, R29, R30, R34, R7, R8, R10, R13, R19, R31, R32, R33, R42</t>
  </si>
  <si>
    <t>Unit Price</t>
  </si>
  <si>
    <t>Total Price</t>
  </si>
  <si>
    <t>Exchange rate</t>
  </si>
  <si>
    <t>In EDH task</t>
  </si>
  <si>
    <t>LM8272MMX/NOPB</t>
  </si>
  <si>
    <t>IC15, IC17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</si>
</sst>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#,##0.00\ [$CHF-100C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5" fontId="1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7">
    <dxf>
      <numFmt numFmtId="164" formatCode="[$$-409]#,##0.0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6BA922-CC92-4862-84E2-E66F08EE039D}" autoFormatId="16" applyNumberFormats="0" applyBorderFormats="0" applyFontFormats="0" applyPatternFormats="0" applyAlignmentFormats="0" applyWidthHeightFormats="0">
  <queryTableRefresh nextId="12" unboundColumnsRight="2">
    <queryTableFields count="8">
      <queryTableField id="1" name="#" tableColumnId="1"/>
      <queryTableField id="2" name="Reference" tableColumnId="2"/>
      <queryTableField id="3" name="Qty" tableColumnId="3"/>
      <queryTableField id="4" name="Value" tableColumnId="4"/>
      <queryTableField id="5" name="Footprint" tableColumnId="5"/>
      <queryTableField id="6" name="DNP" tableColumnId="6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91A23-2E73-4D71-B062-551371147C42}" name="Accurate_Eval" displayName="Accurate_Eval" ref="A1:H79" tableType="queryTable" totalsRowCount="1">
  <autoFilter ref="A1:H78" xr:uid="{FCF91A23-2E73-4D71-B062-551371147C42}"/>
  <tableColumns count="8">
    <tableColumn id="1" xr3:uid="{A464807A-CC5C-48BC-B9C9-68E1D4F7F054}" uniqueName="1" name="#" queryTableFieldId="1"/>
    <tableColumn id="2" xr3:uid="{A27DC69A-6F68-4FB0-B0E6-1B60CB4DE391}" uniqueName="2" name="Reference" queryTableFieldId="2" dataDxfId="6"/>
    <tableColumn id="3" xr3:uid="{24842E00-D217-4667-AFFF-9A49AB678EE6}" uniqueName="3" name="Qty" queryTableFieldId="3"/>
    <tableColumn id="4" xr3:uid="{B1987290-2563-47D2-AC38-7A16E69ECBAD}" uniqueName="4" name="Value" queryTableFieldId="4" dataDxfId="5"/>
    <tableColumn id="5" xr3:uid="{09239494-EFCF-4331-9E33-E3F4304F1BD9}" uniqueName="5" name="Footprint" queryTableFieldId="5" dataDxfId="4"/>
    <tableColumn id="6" xr3:uid="{518A24AC-08B7-42EA-9C2C-85AC1D3972AB}" uniqueName="6" name="DNP" queryTableFieldId="6" dataDxfId="3"/>
    <tableColumn id="10" xr3:uid="{FF59FAEF-0BB2-4280-AB3A-CB9C32CDE3D2}" uniqueName="10" name="Unit Price" queryTableFieldId="10" dataDxfId="2"/>
    <tableColumn id="11" xr3:uid="{FF23D228-02CC-441B-89D1-9D9E2004E8C2}" uniqueName="11" name="Total Price" totalsRowFunction="sum" queryTableFieldId="11" dataDxfId="1" totalsRowDxfId="0">
      <calculatedColumnFormula>Accurate_Eval[[#This Row],[Qty]]*Accurate_Eval[[#This Row],[Unit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A1B3-6D1C-4DB4-9C67-C4535B6F2AE6}">
  <dimension ref="A1:L81"/>
  <sheetViews>
    <sheetView tabSelected="1" topLeftCell="A31" workbookViewId="0">
      <selection activeCell="D35" sqref="D35"/>
    </sheetView>
  </sheetViews>
  <sheetFormatPr defaultRowHeight="15" x14ac:dyDescent="0.25"/>
  <cols>
    <col min="1" max="1" width="10.42578125" customWidth="1"/>
    <col min="2" max="2" width="81.140625" bestFit="1" customWidth="1"/>
    <col min="3" max="3" width="6.42578125" bestFit="1" customWidth="1"/>
    <col min="4" max="4" width="44.140625" bestFit="1" customWidth="1"/>
    <col min="5" max="5" width="71.85546875" bestFit="1" customWidth="1"/>
    <col min="6" max="6" width="7.140625" bestFit="1" customWidth="1"/>
    <col min="8" max="8" width="10.42578125" bestFit="1" customWidth="1"/>
    <col min="10" max="10" width="13.28515625" customWidth="1"/>
    <col min="12" max="12" width="11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213</v>
      </c>
      <c r="H1" t="s">
        <v>214</v>
      </c>
    </row>
    <row r="2" spans="1:12" x14ac:dyDescent="0.25">
      <c r="A2" s="1">
        <v>1</v>
      </c>
      <c r="B2" t="s">
        <v>6</v>
      </c>
      <c r="C2">
        <v>4</v>
      </c>
      <c r="D2" t="s">
        <v>7</v>
      </c>
      <c r="E2" t="s">
        <v>8</v>
      </c>
      <c r="F2" t="s">
        <v>9</v>
      </c>
      <c r="G2">
        <v>0</v>
      </c>
      <c r="H2">
        <f>Accurate_Eval[[#This Row],[Qty]]*Accurate_Eval[[#This Row],[Unit Price]]</f>
        <v>0</v>
      </c>
    </row>
    <row r="3" spans="1:12" x14ac:dyDescent="0.25">
      <c r="A3" s="3">
        <v>2</v>
      </c>
      <c r="B3" t="s">
        <v>210</v>
      </c>
      <c r="C3">
        <v>48</v>
      </c>
      <c r="D3" t="s">
        <v>10</v>
      </c>
      <c r="E3" t="s">
        <v>11</v>
      </c>
      <c r="F3" t="s">
        <v>9</v>
      </c>
      <c r="G3">
        <v>6.5759999999999999E-2</v>
      </c>
      <c r="H3">
        <f>Accurate_Eval[[#This Row],[Qty]]*Accurate_Eval[[#This Row],[Unit Price]]</f>
        <v>3.1564800000000002</v>
      </c>
    </row>
    <row r="4" spans="1:12" x14ac:dyDescent="0.25">
      <c r="A4" s="3">
        <v>3</v>
      </c>
      <c r="B4" t="s">
        <v>211</v>
      </c>
      <c r="C4">
        <v>8</v>
      </c>
      <c r="D4" t="s">
        <v>12</v>
      </c>
      <c r="E4" t="s">
        <v>11</v>
      </c>
      <c r="F4" t="s">
        <v>9</v>
      </c>
      <c r="G4">
        <v>8.0100000000000005E-2</v>
      </c>
      <c r="H4">
        <f>Accurate_Eval[[#This Row],[Qty]]*Accurate_Eval[[#This Row],[Unit Price]]</f>
        <v>0.64080000000000004</v>
      </c>
    </row>
    <row r="5" spans="1:12" x14ac:dyDescent="0.25">
      <c r="A5" s="3">
        <v>4</v>
      </c>
      <c r="B5" t="s">
        <v>13</v>
      </c>
      <c r="C5">
        <v>2</v>
      </c>
      <c r="D5" t="s">
        <v>209</v>
      </c>
      <c r="E5" t="s">
        <v>11</v>
      </c>
      <c r="F5" t="s">
        <v>9</v>
      </c>
      <c r="G5">
        <v>7.5200000000000003E-2</v>
      </c>
      <c r="H5">
        <f>Accurate_Eval[[#This Row],[Qty]]*Accurate_Eval[[#This Row],[Unit Price]]</f>
        <v>0.15040000000000001</v>
      </c>
    </row>
    <row r="6" spans="1:12" x14ac:dyDescent="0.25">
      <c r="A6" s="3">
        <v>5</v>
      </c>
      <c r="B6" t="s">
        <v>14</v>
      </c>
      <c r="C6">
        <v>2</v>
      </c>
      <c r="D6" t="s">
        <v>15</v>
      </c>
      <c r="E6" t="s">
        <v>11</v>
      </c>
      <c r="F6" t="s">
        <v>9</v>
      </c>
      <c r="G6">
        <v>3.1600000000000003E-2</v>
      </c>
      <c r="H6">
        <f>Accurate_Eval[[#This Row],[Qty]]*Accurate_Eval[[#This Row],[Unit Price]]</f>
        <v>6.3200000000000006E-2</v>
      </c>
    </row>
    <row r="7" spans="1:12" x14ac:dyDescent="0.25">
      <c r="A7" s="3">
        <v>6</v>
      </c>
      <c r="B7" t="s">
        <v>16</v>
      </c>
      <c r="C7">
        <v>19</v>
      </c>
      <c r="D7" t="s">
        <v>17</v>
      </c>
      <c r="E7" t="s">
        <v>18</v>
      </c>
      <c r="F7" t="s">
        <v>9</v>
      </c>
      <c r="G7">
        <v>6.8479999999999999E-2</v>
      </c>
      <c r="H7">
        <f>Accurate_Eval[[#This Row],[Qty]]*Accurate_Eval[[#This Row],[Unit Price]]</f>
        <v>1.3011200000000001</v>
      </c>
    </row>
    <row r="8" spans="1:12" x14ac:dyDescent="0.25">
      <c r="A8" s="3">
        <v>7</v>
      </c>
      <c r="B8" t="s">
        <v>19</v>
      </c>
      <c r="C8">
        <v>2</v>
      </c>
      <c r="D8" t="s">
        <v>20</v>
      </c>
      <c r="E8" t="s">
        <v>11</v>
      </c>
      <c r="F8" t="s">
        <v>9</v>
      </c>
      <c r="G8">
        <v>0.1216</v>
      </c>
      <c r="H8">
        <f>Accurate_Eval[[#This Row],[Qty]]*Accurate_Eval[[#This Row],[Unit Price]]</f>
        <v>0.2432</v>
      </c>
      <c r="J8" s="7" t="s">
        <v>205</v>
      </c>
      <c r="K8" s="8" t="s">
        <v>206</v>
      </c>
      <c r="L8" s="9" t="s">
        <v>216</v>
      </c>
    </row>
    <row r="9" spans="1:12" x14ac:dyDescent="0.25">
      <c r="A9" s="3">
        <v>8</v>
      </c>
      <c r="B9" t="s">
        <v>21</v>
      </c>
      <c r="C9">
        <v>1</v>
      </c>
      <c r="D9" t="s">
        <v>22</v>
      </c>
      <c r="E9" t="s">
        <v>23</v>
      </c>
      <c r="F9" t="s">
        <v>9</v>
      </c>
      <c r="G9">
        <v>0.192</v>
      </c>
      <c r="H9">
        <f>Accurate_Eval[[#This Row],[Qty]]*Accurate_Eval[[#This Row],[Unit Price]]</f>
        <v>0.192</v>
      </c>
    </row>
    <row r="10" spans="1:12" x14ac:dyDescent="0.25">
      <c r="A10" s="3">
        <v>9</v>
      </c>
      <c r="B10" t="s">
        <v>24</v>
      </c>
      <c r="C10">
        <v>2</v>
      </c>
      <c r="D10" t="s">
        <v>25</v>
      </c>
      <c r="E10" t="s">
        <v>11</v>
      </c>
      <c r="F10" t="s">
        <v>9</v>
      </c>
      <c r="G10">
        <v>4.4400000000000002E-2</v>
      </c>
      <c r="H10">
        <f>Accurate_Eval[[#This Row],[Qty]]*Accurate_Eval[[#This Row],[Unit Price]]</f>
        <v>8.8800000000000004E-2</v>
      </c>
    </row>
    <row r="11" spans="1:12" x14ac:dyDescent="0.25">
      <c r="A11" s="3">
        <v>11</v>
      </c>
      <c r="B11" t="s">
        <v>26</v>
      </c>
      <c r="C11">
        <v>8</v>
      </c>
      <c r="D11" t="s">
        <v>27</v>
      </c>
      <c r="E11" t="s">
        <v>11</v>
      </c>
      <c r="F11" t="s">
        <v>9</v>
      </c>
      <c r="G11">
        <v>5.62E-2</v>
      </c>
      <c r="H11">
        <f>Accurate_Eval[[#This Row],[Qty]]*Accurate_Eval[[#This Row],[Unit Price]]</f>
        <v>0.4496</v>
      </c>
    </row>
    <row r="12" spans="1:12" x14ac:dyDescent="0.25">
      <c r="A12" s="2">
        <v>12</v>
      </c>
      <c r="B12" t="s">
        <v>28</v>
      </c>
      <c r="C12">
        <v>1</v>
      </c>
      <c r="D12" t="s">
        <v>29</v>
      </c>
      <c r="E12" t="s">
        <v>30</v>
      </c>
      <c r="F12" t="s">
        <v>5</v>
      </c>
      <c r="G12">
        <v>0</v>
      </c>
      <c r="H12">
        <f>Accurate_Eval[[#This Row],[Qty]]*Accurate_Eval[[#This Row],[Unit Price]]</f>
        <v>0</v>
      </c>
    </row>
    <row r="13" spans="1:12" x14ac:dyDescent="0.25">
      <c r="A13" s="3">
        <v>13</v>
      </c>
      <c r="B13" t="s">
        <v>31</v>
      </c>
      <c r="C13">
        <v>1</v>
      </c>
      <c r="D13" t="s">
        <v>32</v>
      </c>
      <c r="E13" t="s">
        <v>33</v>
      </c>
      <c r="F13" t="s">
        <v>9</v>
      </c>
      <c r="G13">
        <v>0.40500000000000003</v>
      </c>
      <c r="H13">
        <f>Accurate_Eval[[#This Row],[Qty]]*Accurate_Eval[[#This Row],[Unit Price]]</f>
        <v>0.40500000000000003</v>
      </c>
    </row>
    <row r="14" spans="1:12" x14ac:dyDescent="0.25">
      <c r="A14" s="1">
        <v>14</v>
      </c>
      <c r="B14" t="s">
        <v>34</v>
      </c>
      <c r="C14">
        <v>5</v>
      </c>
      <c r="D14" t="s">
        <v>35</v>
      </c>
      <c r="E14" t="s">
        <v>36</v>
      </c>
      <c r="F14" t="s">
        <v>9</v>
      </c>
      <c r="G14" s="6">
        <v>0.14560000000000001</v>
      </c>
      <c r="H14" s="6">
        <f>Accurate_Eval[[#This Row],[Qty]]*Accurate_Eval[[#This Row],[Unit Price]]</f>
        <v>0.72799999999999998</v>
      </c>
    </row>
    <row r="15" spans="1:12" x14ac:dyDescent="0.25">
      <c r="A15" s="3">
        <v>15</v>
      </c>
      <c r="B15" t="s">
        <v>37</v>
      </c>
      <c r="C15">
        <v>1</v>
      </c>
      <c r="D15" t="s">
        <v>38</v>
      </c>
      <c r="E15" t="s">
        <v>39</v>
      </c>
      <c r="F15" t="s">
        <v>9</v>
      </c>
      <c r="G15">
        <v>0.307</v>
      </c>
      <c r="H15">
        <f>Accurate_Eval[[#This Row],[Qty]]*Accurate_Eval[[#This Row],[Unit Price]]</f>
        <v>0.307</v>
      </c>
    </row>
    <row r="16" spans="1:12" x14ac:dyDescent="0.25">
      <c r="A16" s="1">
        <v>16</v>
      </c>
      <c r="B16" t="s">
        <v>40</v>
      </c>
      <c r="C16">
        <v>1</v>
      </c>
      <c r="D16" t="s">
        <v>41</v>
      </c>
      <c r="E16" t="s">
        <v>42</v>
      </c>
      <c r="F16" t="s">
        <v>9</v>
      </c>
      <c r="G16">
        <v>0.52200000000000002</v>
      </c>
      <c r="H16">
        <f>Accurate_Eval[[#This Row],[Qty]]*Accurate_Eval[[#This Row],[Unit Price]]</f>
        <v>0.52200000000000002</v>
      </c>
    </row>
    <row r="17" spans="1:8" x14ac:dyDescent="0.25">
      <c r="A17" s="3">
        <v>17</v>
      </c>
      <c r="B17" t="s">
        <v>43</v>
      </c>
      <c r="C17">
        <v>6</v>
      </c>
      <c r="D17" t="s">
        <v>44</v>
      </c>
      <c r="E17" t="s">
        <v>45</v>
      </c>
      <c r="F17" t="s">
        <v>9</v>
      </c>
      <c r="G17">
        <v>0.2356</v>
      </c>
      <c r="H17">
        <f>Accurate_Eval[[#This Row],[Qty]]*Accurate_Eval[[#This Row],[Unit Price]]</f>
        <v>1.4136</v>
      </c>
    </row>
    <row r="18" spans="1:8" x14ac:dyDescent="0.25">
      <c r="A18" s="2">
        <v>18</v>
      </c>
      <c r="B18" t="s">
        <v>46</v>
      </c>
      <c r="C18">
        <v>1</v>
      </c>
      <c r="D18" t="s">
        <v>35</v>
      </c>
      <c r="E18" t="s">
        <v>36</v>
      </c>
      <c r="F18" t="s">
        <v>5</v>
      </c>
      <c r="G18">
        <v>0</v>
      </c>
      <c r="H18">
        <f>Accurate_Eval[[#This Row],[Qty]]*Accurate_Eval[[#This Row],[Unit Price]]</f>
        <v>0</v>
      </c>
    </row>
    <row r="19" spans="1:8" x14ac:dyDescent="0.25">
      <c r="A19" s="3">
        <v>19</v>
      </c>
      <c r="B19" t="s">
        <v>47</v>
      </c>
      <c r="C19">
        <v>2</v>
      </c>
      <c r="D19" t="s">
        <v>48</v>
      </c>
      <c r="E19" t="s">
        <v>49</v>
      </c>
      <c r="F19" t="s">
        <v>9</v>
      </c>
      <c r="G19">
        <v>7.3300000000000004E-2</v>
      </c>
      <c r="H19">
        <f>Accurate_Eval[[#This Row],[Qty]]*Accurate_Eval[[#This Row],[Unit Price]]</f>
        <v>0.14660000000000001</v>
      </c>
    </row>
    <row r="20" spans="1:8" x14ac:dyDescent="0.25">
      <c r="A20" s="1">
        <v>20</v>
      </c>
      <c r="B20" t="s">
        <v>50</v>
      </c>
      <c r="C20">
        <v>1</v>
      </c>
      <c r="D20" t="s">
        <v>51</v>
      </c>
      <c r="E20" t="s">
        <v>52</v>
      </c>
      <c r="F20" t="s">
        <v>9</v>
      </c>
      <c r="G20">
        <v>0.377</v>
      </c>
      <c r="H20">
        <f>Accurate_Eval[[#This Row],[Qty]]*Accurate_Eval[[#This Row],[Unit Price]]</f>
        <v>0.377</v>
      </c>
    </row>
    <row r="21" spans="1:8" x14ac:dyDescent="0.25">
      <c r="A21" s="1">
        <v>21</v>
      </c>
      <c r="B21" t="s">
        <v>53</v>
      </c>
      <c r="C21">
        <v>1</v>
      </c>
      <c r="D21" t="s">
        <v>54</v>
      </c>
      <c r="E21" t="s">
        <v>55</v>
      </c>
      <c r="F21" t="s">
        <v>9</v>
      </c>
      <c r="G21">
        <v>8.57</v>
      </c>
      <c r="H21">
        <f>Accurate_Eval[[#This Row],[Qty]]*Accurate_Eval[[#This Row],[Unit Price]]</f>
        <v>8.57</v>
      </c>
    </row>
    <row r="22" spans="1:8" x14ac:dyDescent="0.25">
      <c r="A22" s="3">
        <v>22</v>
      </c>
      <c r="B22" t="s">
        <v>56</v>
      </c>
      <c r="C22">
        <v>1</v>
      </c>
      <c r="D22" t="s">
        <v>57</v>
      </c>
      <c r="E22" t="s">
        <v>58</v>
      </c>
      <c r="F22" t="s">
        <v>9</v>
      </c>
      <c r="G22">
        <v>0.57799999999999996</v>
      </c>
      <c r="H22">
        <f>Accurate_Eval[[#This Row],[Qty]]*Accurate_Eval[[#This Row],[Unit Price]]</f>
        <v>0.57799999999999996</v>
      </c>
    </row>
    <row r="23" spans="1:8" x14ac:dyDescent="0.25">
      <c r="A23" s="2">
        <v>23</v>
      </c>
      <c r="B23" t="s">
        <v>59</v>
      </c>
      <c r="C23">
        <v>6</v>
      </c>
      <c r="D23" t="s">
        <v>60</v>
      </c>
      <c r="E23" t="s">
        <v>61</v>
      </c>
      <c r="F23" t="s">
        <v>9</v>
      </c>
      <c r="G23">
        <v>0</v>
      </c>
      <c r="H23">
        <f>Accurate_Eval[[#This Row],[Qty]]*Accurate_Eval[[#This Row],[Unit Price]]</f>
        <v>0</v>
      </c>
    </row>
    <row r="24" spans="1:8" x14ac:dyDescent="0.25">
      <c r="A24" s="1">
        <v>24</v>
      </c>
      <c r="B24" t="s">
        <v>62</v>
      </c>
      <c r="C24">
        <v>1</v>
      </c>
      <c r="D24" t="s">
        <v>63</v>
      </c>
      <c r="E24" t="s">
        <v>42</v>
      </c>
      <c r="F24" t="s">
        <v>9</v>
      </c>
      <c r="G24">
        <v>1.4</v>
      </c>
      <c r="H24">
        <f>Accurate_Eval[[#This Row],[Qty]]*Accurate_Eval[[#This Row],[Unit Price]]</f>
        <v>1.4</v>
      </c>
    </row>
    <row r="25" spans="1:8" x14ac:dyDescent="0.25">
      <c r="A25" s="3">
        <v>25</v>
      </c>
      <c r="B25" t="s">
        <v>64</v>
      </c>
      <c r="C25">
        <v>1</v>
      </c>
      <c r="D25" t="s">
        <v>65</v>
      </c>
      <c r="E25" t="s">
        <v>66</v>
      </c>
      <c r="F25" t="s">
        <v>9</v>
      </c>
      <c r="G25">
        <v>0.49840000000000001</v>
      </c>
      <c r="H25">
        <f>Accurate_Eval[[#This Row],[Qty]]*Accurate_Eval[[#This Row],[Unit Price]]</f>
        <v>0.49840000000000001</v>
      </c>
    </row>
    <row r="26" spans="1:8" x14ac:dyDescent="0.25">
      <c r="A26" s="3">
        <v>26</v>
      </c>
      <c r="B26" t="s">
        <v>67</v>
      </c>
      <c r="C26">
        <v>1</v>
      </c>
      <c r="D26" t="s">
        <v>68</v>
      </c>
      <c r="E26" t="s">
        <v>66</v>
      </c>
      <c r="F26" t="s">
        <v>9</v>
      </c>
      <c r="G26">
        <v>0.5</v>
      </c>
      <c r="H26">
        <f>Accurate_Eval[[#This Row],[Qty]]*Accurate_Eval[[#This Row],[Unit Price]]</f>
        <v>0.5</v>
      </c>
    </row>
    <row r="27" spans="1:8" x14ac:dyDescent="0.25">
      <c r="A27" s="1">
        <v>27</v>
      </c>
      <c r="B27" t="s">
        <v>69</v>
      </c>
      <c r="C27">
        <v>1</v>
      </c>
      <c r="D27" t="s">
        <v>70</v>
      </c>
      <c r="E27" t="s">
        <v>71</v>
      </c>
      <c r="F27" t="s">
        <v>9</v>
      </c>
      <c r="G27">
        <v>1.05</v>
      </c>
      <c r="H27">
        <f>Accurate_Eval[[#This Row],[Qty]]*Accurate_Eval[[#This Row],[Unit Price]]</f>
        <v>1.05</v>
      </c>
    </row>
    <row r="28" spans="1:8" x14ac:dyDescent="0.25">
      <c r="A28" s="1">
        <v>28</v>
      </c>
      <c r="B28" t="s">
        <v>72</v>
      </c>
      <c r="C28">
        <v>1</v>
      </c>
      <c r="D28" t="s">
        <v>73</v>
      </c>
      <c r="E28" t="s">
        <v>74</v>
      </c>
      <c r="F28" t="s">
        <v>9</v>
      </c>
      <c r="G28">
        <v>4.4710000000000001</v>
      </c>
      <c r="H28">
        <f>Accurate_Eval[[#This Row],[Qty]]*Accurate_Eval[[#This Row],[Unit Price]]</f>
        <v>4.4710000000000001</v>
      </c>
    </row>
    <row r="29" spans="1:8" x14ac:dyDescent="0.25">
      <c r="A29" s="3">
        <v>29</v>
      </c>
      <c r="B29" t="s">
        <v>75</v>
      </c>
      <c r="C29">
        <v>1</v>
      </c>
      <c r="D29" t="s">
        <v>76</v>
      </c>
      <c r="E29" t="s">
        <v>74</v>
      </c>
      <c r="F29" t="s">
        <v>9</v>
      </c>
      <c r="G29">
        <v>0.3</v>
      </c>
      <c r="H29">
        <f>Accurate_Eval[[#This Row],[Qty]]*Accurate_Eval[[#This Row],[Unit Price]]</f>
        <v>0.3</v>
      </c>
    </row>
    <row r="30" spans="1:8" x14ac:dyDescent="0.25">
      <c r="A30" s="3">
        <v>30</v>
      </c>
      <c r="B30" t="s">
        <v>77</v>
      </c>
      <c r="C30">
        <v>1</v>
      </c>
      <c r="D30" t="s">
        <v>78</v>
      </c>
      <c r="E30" t="s">
        <v>79</v>
      </c>
      <c r="F30" t="s">
        <v>9</v>
      </c>
      <c r="G30">
        <v>5.09</v>
      </c>
      <c r="H30">
        <f>Accurate_Eval[[#This Row],[Qty]]*Accurate_Eval[[#This Row],[Unit Price]]</f>
        <v>5.09</v>
      </c>
    </row>
    <row r="31" spans="1:8" x14ac:dyDescent="0.25">
      <c r="A31" s="3">
        <v>31</v>
      </c>
      <c r="B31" t="s">
        <v>80</v>
      </c>
      <c r="C31">
        <v>1</v>
      </c>
      <c r="D31" t="s">
        <v>81</v>
      </c>
      <c r="E31" t="s">
        <v>74</v>
      </c>
      <c r="F31" t="s">
        <v>9</v>
      </c>
      <c r="G31">
        <v>4.2267999999999999</v>
      </c>
      <c r="H31">
        <f>Accurate_Eval[[#This Row],[Qty]]*Accurate_Eval[[#This Row],[Unit Price]]</f>
        <v>4.2267999999999999</v>
      </c>
    </row>
    <row r="32" spans="1:8" x14ac:dyDescent="0.25">
      <c r="A32" s="1">
        <v>32</v>
      </c>
      <c r="B32" t="s">
        <v>82</v>
      </c>
      <c r="C32">
        <v>1</v>
      </c>
      <c r="D32" t="s">
        <v>83</v>
      </c>
      <c r="E32" t="s">
        <v>84</v>
      </c>
      <c r="F32" t="s">
        <v>9</v>
      </c>
      <c r="G32">
        <v>4.16</v>
      </c>
      <c r="H32">
        <f>Accurate_Eval[[#This Row],[Qty]]*Accurate_Eval[[#This Row],[Unit Price]]</f>
        <v>4.16</v>
      </c>
    </row>
    <row r="33" spans="1:8" x14ac:dyDescent="0.25">
      <c r="A33" s="1">
        <v>33</v>
      </c>
      <c r="B33" t="s">
        <v>85</v>
      </c>
      <c r="C33">
        <v>1</v>
      </c>
      <c r="D33" t="s">
        <v>86</v>
      </c>
      <c r="E33" t="s">
        <v>87</v>
      </c>
      <c r="F33" t="s">
        <v>9</v>
      </c>
      <c r="G33">
        <v>7.95</v>
      </c>
      <c r="H33">
        <f>Accurate_Eval[[#This Row],[Qty]]*Accurate_Eval[[#This Row],[Unit Price]]</f>
        <v>7.95</v>
      </c>
    </row>
    <row r="34" spans="1:8" x14ac:dyDescent="0.25">
      <c r="A34" s="1">
        <v>34</v>
      </c>
      <c r="B34" t="s">
        <v>88</v>
      </c>
      <c r="C34">
        <v>1</v>
      </c>
      <c r="D34" t="s">
        <v>89</v>
      </c>
      <c r="E34" t="s">
        <v>90</v>
      </c>
      <c r="F34" t="s">
        <v>9</v>
      </c>
      <c r="G34">
        <v>3.758</v>
      </c>
      <c r="H34">
        <f>Accurate_Eval[[#This Row],[Qty]]*Accurate_Eval[[#This Row],[Unit Price]]</f>
        <v>3.758</v>
      </c>
    </row>
    <row r="35" spans="1:8" x14ac:dyDescent="0.25">
      <c r="A35" s="3">
        <v>35</v>
      </c>
      <c r="B35" t="s">
        <v>218</v>
      </c>
      <c r="C35">
        <v>2</v>
      </c>
      <c r="D35" t="s">
        <v>217</v>
      </c>
      <c r="E35" t="s">
        <v>74</v>
      </c>
      <c r="F35" t="s">
        <v>9</v>
      </c>
      <c r="G35">
        <v>2.87</v>
      </c>
      <c r="H35">
        <f>Accurate_Eval[[#This Row],[Qty]]*Accurate_Eval[[#This Row],[Unit Price]]</f>
        <v>5.74</v>
      </c>
    </row>
    <row r="36" spans="1:8" x14ac:dyDescent="0.25">
      <c r="A36" s="1">
        <v>36</v>
      </c>
      <c r="B36" t="s">
        <v>91</v>
      </c>
      <c r="C36">
        <v>1</v>
      </c>
      <c r="D36" t="s">
        <v>92</v>
      </c>
      <c r="E36" t="s">
        <v>93</v>
      </c>
      <c r="F36" t="s">
        <v>9</v>
      </c>
      <c r="G36">
        <v>10.784000000000001</v>
      </c>
      <c r="H36">
        <f>Accurate_Eval[[#This Row],[Qty]]*Accurate_Eval[[#This Row],[Unit Price]]</f>
        <v>10.784000000000001</v>
      </c>
    </row>
    <row r="37" spans="1:8" x14ac:dyDescent="0.25">
      <c r="A37" s="1">
        <v>37</v>
      </c>
      <c r="B37" t="s">
        <v>94</v>
      </c>
      <c r="C37">
        <v>1</v>
      </c>
      <c r="D37" t="s">
        <v>95</v>
      </c>
      <c r="E37" t="s">
        <v>96</v>
      </c>
      <c r="F37" t="s">
        <v>9</v>
      </c>
      <c r="G37">
        <v>2.5219999999999998</v>
      </c>
      <c r="H37">
        <f>Accurate_Eval[[#This Row],[Qty]]*Accurate_Eval[[#This Row],[Unit Price]]</f>
        <v>2.5219999999999998</v>
      </c>
    </row>
    <row r="38" spans="1:8" x14ac:dyDescent="0.25">
      <c r="A38" s="2">
        <v>38</v>
      </c>
      <c r="B38" t="s">
        <v>97</v>
      </c>
      <c r="C38">
        <v>1</v>
      </c>
      <c r="D38" t="s">
        <v>98</v>
      </c>
      <c r="E38" t="s">
        <v>99</v>
      </c>
      <c r="F38" t="s">
        <v>9</v>
      </c>
      <c r="G38">
        <v>0</v>
      </c>
      <c r="H38">
        <f>Accurate_Eval[[#This Row],[Qty]]*Accurate_Eval[[#This Row],[Unit Price]]</f>
        <v>0</v>
      </c>
    </row>
    <row r="39" spans="1:8" x14ac:dyDescent="0.25">
      <c r="A39" s="1">
        <v>39</v>
      </c>
      <c r="B39" t="s">
        <v>100</v>
      </c>
      <c r="C39">
        <v>1</v>
      </c>
      <c r="D39" t="s">
        <v>101</v>
      </c>
      <c r="E39" t="s">
        <v>102</v>
      </c>
      <c r="F39" t="s">
        <v>9</v>
      </c>
      <c r="G39">
        <v>5.19</v>
      </c>
      <c r="H39">
        <f>Accurate_Eval[[#This Row],[Qty]]*Accurate_Eval[[#This Row],[Unit Price]]</f>
        <v>5.19</v>
      </c>
    </row>
    <row r="40" spans="1:8" x14ac:dyDescent="0.25">
      <c r="A40" s="3">
        <v>40</v>
      </c>
      <c r="B40" t="s">
        <v>103</v>
      </c>
      <c r="C40">
        <v>1</v>
      </c>
      <c r="D40" t="s">
        <v>104</v>
      </c>
      <c r="E40" t="s">
        <v>105</v>
      </c>
      <c r="F40" t="s">
        <v>9</v>
      </c>
      <c r="G40">
        <v>0.57099999999999995</v>
      </c>
      <c r="H40">
        <f>Accurate_Eval[[#This Row],[Qty]]*Accurate_Eval[[#This Row],[Unit Price]]</f>
        <v>0.57099999999999995</v>
      </c>
    </row>
    <row r="41" spans="1:8" x14ac:dyDescent="0.25">
      <c r="A41" s="1">
        <v>41</v>
      </c>
      <c r="B41" t="s">
        <v>106</v>
      </c>
      <c r="C41">
        <v>1</v>
      </c>
      <c r="D41" t="s">
        <v>107</v>
      </c>
      <c r="E41" t="s">
        <v>108</v>
      </c>
      <c r="F41" t="s">
        <v>9</v>
      </c>
      <c r="G41">
        <v>4.0350000000000001</v>
      </c>
      <c r="H41">
        <f>Accurate_Eval[[#This Row],[Qty]]*Accurate_Eval[[#This Row],[Unit Price]]</f>
        <v>4.0350000000000001</v>
      </c>
    </row>
    <row r="42" spans="1:8" x14ac:dyDescent="0.25">
      <c r="A42" s="1">
        <v>42</v>
      </c>
      <c r="B42" t="s">
        <v>109</v>
      </c>
      <c r="C42">
        <v>1</v>
      </c>
      <c r="D42" t="s">
        <v>110</v>
      </c>
      <c r="E42" t="s">
        <v>111</v>
      </c>
      <c r="F42" t="s">
        <v>9</v>
      </c>
      <c r="G42">
        <v>9.24</v>
      </c>
      <c r="H42">
        <f>Accurate_Eval[[#This Row],[Qty]]*Accurate_Eval[[#This Row],[Unit Price]]</f>
        <v>9.24</v>
      </c>
    </row>
    <row r="43" spans="1:8" x14ac:dyDescent="0.25">
      <c r="A43" s="2">
        <v>43</v>
      </c>
      <c r="B43" t="s">
        <v>112</v>
      </c>
      <c r="C43">
        <v>1</v>
      </c>
      <c r="D43" t="s">
        <v>113</v>
      </c>
      <c r="E43" t="s">
        <v>114</v>
      </c>
      <c r="F43" t="s">
        <v>5</v>
      </c>
      <c r="G43">
        <v>0</v>
      </c>
      <c r="H43">
        <f>Accurate_Eval[[#This Row],[Qty]]*Accurate_Eval[[#This Row],[Unit Price]]</f>
        <v>0</v>
      </c>
    </row>
    <row r="44" spans="1:8" x14ac:dyDescent="0.25">
      <c r="A44" s="3">
        <v>44</v>
      </c>
      <c r="B44" t="s">
        <v>115</v>
      </c>
      <c r="C44">
        <v>1</v>
      </c>
      <c r="D44" t="s">
        <v>116</v>
      </c>
      <c r="E44" t="s">
        <v>117</v>
      </c>
      <c r="F44" t="s">
        <v>9</v>
      </c>
      <c r="G44">
        <v>0.66</v>
      </c>
      <c r="H44">
        <f>Accurate_Eval[[#This Row],[Qty]]*Accurate_Eval[[#This Row],[Unit Price]]</f>
        <v>0.66</v>
      </c>
    </row>
    <row r="45" spans="1:8" x14ac:dyDescent="0.25">
      <c r="A45" s="3">
        <v>45</v>
      </c>
      <c r="B45" t="s">
        <v>118</v>
      </c>
      <c r="C45">
        <v>3</v>
      </c>
      <c r="D45" t="s">
        <v>119</v>
      </c>
      <c r="E45" t="s">
        <v>120</v>
      </c>
      <c r="F45" t="s">
        <v>9</v>
      </c>
      <c r="G45">
        <v>0.37209999999999999</v>
      </c>
      <c r="H45">
        <f>Accurate_Eval[[#This Row],[Qty]]*Accurate_Eval[[#This Row],[Unit Price]]</f>
        <v>1.1162999999999998</v>
      </c>
    </row>
    <row r="46" spans="1:8" x14ac:dyDescent="0.25">
      <c r="A46" s="3">
        <v>46</v>
      </c>
      <c r="B46" t="s">
        <v>121</v>
      </c>
      <c r="C46">
        <v>2</v>
      </c>
      <c r="D46" t="s">
        <v>122</v>
      </c>
      <c r="E46" t="s">
        <v>123</v>
      </c>
      <c r="F46" t="s">
        <v>9</v>
      </c>
      <c r="G46">
        <v>2.044</v>
      </c>
      <c r="H46">
        <f>Accurate_Eval[[#This Row],[Qty]]*Accurate_Eval[[#This Row],[Unit Price]]</f>
        <v>4.0880000000000001</v>
      </c>
    </row>
    <row r="47" spans="1:8" x14ac:dyDescent="0.25">
      <c r="A47" s="3">
        <v>47</v>
      </c>
      <c r="B47" t="s">
        <v>124</v>
      </c>
      <c r="C47">
        <v>1</v>
      </c>
      <c r="D47" t="s">
        <v>125</v>
      </c>
      <c r="E47" t="s">
        <v>126</v>
      </c>
      <c r="F47" t="s">
        <v>9</v>
      </c>
      <c r="G47">
        <v>4.0110000000000001</v>
      </c>
      <c r="H47">
        <f>Accurate_Eval[[#This Row],[Qty]]*Accurate_Eval[[#This Row],[Unit Price]]</f>
        <v>4.0110000000000001</v>
      </c>
    </row>
    <row r="48" spans="1:8" x14ac:dyDescent="0.25">
      <c r="A48" s="3">
        <v>48</v>
      </c>
      <c r="B48" t="s">
        <v>127</v>
      </c>
      <c r="C48">
        <v>1</v>
      </c>
      <c r="D48" t="s">
        <v>128</v>
      </c>
      <c r="E48" t="s">
        <v>129</v>
      </c>
      <c r="F48" t="s">
        <v>9</v>
      </c>
      <c r="G48">
        <v>2.6440000000000001</v>
      </c>
      <c r="H48">
        <f>Accurate_Eval[[#This Row],[Qty]]*Accurate_Eval[[#This Row],[Unit Price]]</f>
        <v>2.6440000000000001</v>
      </c>
    </row>
    <row r="49" spans="1:8" x14ac:dyDescent="0.25">
      <c r="A49" s="3">
        <v>49</v>
      </c>
      <c r="B49" t="s">
        <v>130</v>
      </c>
      <c r="C49">
        <v>1</v>
      </c>
      <c r="D49" t="s">
        <v>131</v>
      </c>
      <c r="E49" t="s">
        <v>132</v>
      </c>
      <c r="F49" t="s">
        <v>9</v>
      </c>
      <c r="G49">
        <v>0.375</v>
      </c>
      <c r="H49">
        <f>Accurate_Eval[[#This Row],[Qty]]*Accurate_Eval[[#This Row],[Unit Price]]</f>
        <v>0.375</v>
      </c>
    </row>
    <row r="50" spans="1:8" x14ac:dyDescent="0.25">
      <c r="A50" s="3">
        <v>50</v>
      </c>
      <c r="B50" t="s">
        <v>133</v>
      </c>
      <c r="C50">
        <v>2</v>
      </c>
      <c r="D50" t="s">
        <v>134</v>
      </c>
      <c r="E50" t="s">
        <v>135</v>
      </c>
      <c r="F50" t="s">
        <v>9</v>
      </c>
      <c r="G50">
        <v>0.217</v>
      </c>
      <c r="H50">
        <f>Accurate_Eval[[#This Row],[Qty]]*Accurate_Eval[[#This Row],[Unit Price]]</f>
        <v>0.434</v>
      </c>
    </row>
    <row r="51" spans="1:8" x14ac:dyDescent="0.25">
      <c r="A51" s="2">
        <v>51</v>
      </c>
      <c r="B51" t="s">
        <v>136</v>
      </c>
      <c r="C51">
        <v>1</v>
      </c>
      <c r="D51" t="s">
        <v>137</v>
      </c>
      <c r="E51" t="s">
        <v>138</v>
      </c>
      <c r="F51" t="s">
        <v>5</v>
      </c>
      <c r="G51">
        <v>0</v>
      </c>
      <c r="H51">
        <f>Accurate_Eval[[#This Row],[Qty]]*Accurate_Eval[[#This Row],[Unit Price]]</f>
        <v>0</v>
      </c>
    </row>
    <row r="52" spans="1:8" x14ac:dyDescent="0.25">
      <c r="A52" s="3">
        <v>52</v>
      </c>
      <c r="B52" t="s">
        <v>139</v>
      </c>
      <c r="C52">
        <v>2</v>
      </c>
      <c r="D52" t="s">
        <v>140</v>
      </c>
      <c r="E52" t="s">
        <v>208</v>
      </c>
      <c r="F52" t="s">
        <v>9</v>
      </c>
      <c r="G52">
        <v>2.35</v>
      </c>
      <c r="H52">
        <f>Accurate_Eval[[#This Row],[Qty]]*Accurate_Eval[[#This Row],[Unit Price]]</f>
        <v>4.7</v>
      </c>
    </row>
    <row r="53" spans="1:8" x14ac:dyDescent="0.25">
      <c r="A53" s="2">
        <v>53</v>
      </c>
      <c r="B53" t="s">
        <v>141</v>
      </c>
      <c r="C53">
        <v>1</v>
      </c>
      <c r="D53" t="s">
        <v>142</v>
      </c>
      <c r="E53" t="s">
        <v>143</v>
      </c>
      <c r="F53" t="s">
        <v>9</v>
      </c>
      <c r="G53">
        <v>0</v>
      </c>
      <c r="H53">
        <f>Accurate_Eval[[#This Row],[Qty]]*Accurate_Eval[[#This Row],[Unit Price]]</f>
        <v>0</v>
      </c>
    </row>
    <row r="54" spans="1:8" x14ac:dyDescent="0.25">
      <c r="A54" s="1">
        <v>54</v>
      </c>
      <c r="B54" t="s">
        <v>144</v>
      </c>
      <c r="C54">
        <v>2</v>
      </c>
      <c r="D54" t="s">
        <v>145</v>
      </c>
      <c r="E54" t="s">
        <v>146</v>
      </c>
      <c r="F54" t="s">
        <v>9</v>
      </c>
      <c r="G54">
        <v>8.3199999999999996E-2</v>
      </c>
      <c r="H54">
        <f>Accurate_Eval[[#This Row],[Qty]]*Accurate_Eval[[#This Row],[Unit Price]]</f>
        <v>0.16639999999999999</v>
      </c>
    </row>
    <row r="55" spans="1:8" x14ac:dyDescent="0.25">
      <c r="A55" s="1">
        <v>55</v>
      </c>
      <c r="B55" t="s">
        <v>147</v>
      </c>
      <c r="C55">
        <v>7</v>
      </c>
      <c r="D55" t="s">
        <v>148</v>
      </c>
      <c r="E55" t="s">
        <v>149</v>
      </c>
      <c r="F55" t="s">
        <v>9</v>
      </c>
      <c r="G55">
        <v>9.3299999999999994E-2</v>
      </c>
      <c r="H55">
        <f>Accurate_Eval[[#This Row],[Qty]]*Accurate_Eval[[#This Row],[Unit Price]]</f>
        <v>0.65310000000000001</v>
      </c>
    </row>
    <row r="56" spans="1:8" x14ac:dyDescent="0.25">
      <c r="A56" s="1">
        <v>56</v>
      </c>
      <c r="B56" t="s">
        <v>150</v>
      </c>
      <c r="C56">
        <v>5</v>
      </c>
      <c r="D56" t="s">
        <v>151</v>
      </c>
      <c r="E56" t="s">
        <v>152</v>
      </c>
      <c r="F56" t="s">
        <v>9</v>
      </c>
      <c r="G56">
        <v>9.3299999999999994E-2</v>
      </c>
      <c r="H56">
        <f>Accurate_Eval[[#This Row],[Qty]]*Accurate_Eval[[#This Row],[Unit Price]]</f>
        <v>0.46649999999999997</v>
      </c>
    </row>
    <row r="57" spans="1:8" x14ac:dyDescent="0.25">
      <c r="A57" s="2">
        <v>57</v>
      </c>
      <c r="B57" t="s">
        <v>153</v>
      </c>
      <c r="C57">
        <v>1</v>
      </c>
      <c r="D57" t="s">
        <v>154</v>
      </c>
      <c r="E57" t="s">
        <v>155</v>
      </c>
      <c r="F57" t="s">
        <v>5</v>
      </c>
      <c r="G57">
        <v>0</v>
      </c>
      <c r="H57">
        <f>Accurate_Eval[[#This Row],[Qty]]*Accurate_Eval[[#This Row],[Unit Price]]</f>
        <v>0</v>
      </c>
    </row>
    <row r="58" spans="1:8" x14ac:dyDescent="0.25">
      <c r="A58" s="3">
        <v>58</v>
      </c>
      <c r="B58" t="s">
        <v>156</v>
      </c>
      <c r="C58">
        <v>1</v>
      </c>
      <c r="D58" t="s">
        <v>157</v>
      </c>
      <c r="E58" t="s">
        <v>158</v>
      </c>
      <c r="F58" t="s">
        <v>9</v>
      </c>
      <c r="G58">
        <v>1.3069999999999999</v>
      </c>
      <c r="H58">
        <f>Accurate_Eval[[#This Row],[Qty]]*Accurate_Eval[[#This Row],[Unit Price]]</f>
        <v>1.3069999999999999</v>
      </c>
    </row>
    <row r="59" spans="1:8" x14ac:dyDescent="0.25">
      <c r="A59" s="1">
        <v>59</v>
      </c>
      <c r="B59" t="s">
        <v>159</v>
      </c>
      <c r="C59">
        <v>1</v>
      </c>
      <c r="D59" t="s">
        <v>160</v>
      </c>
      <c r="E59" t="s">
        <v>161</v>
      </c>
      <c r="F59" t="s">
        <v>9</v>
      </c>
      <c r="G59">
        <v>3.03</v>
      </c>
      <c r="H59">
        <f>Accurate_Eval[[#This Row],[Qty]]*Accurate_Eval[[#This Row],[Unit Price]]</f>
        <v>3.03</v>
      </c>
    </row>
    <row r="60" spans="1:8" x14ac:dyDescent="0.25">
      <c r="A60" s="1">
        <v>60</v>
      </c>
      <c r="B60" t="s">
        <v>162</v>
      </c>
      <c r="C60">
        <v>4</v>
      </c>
      <c r="D60" t="s">
        <v>163</v>
      </c>
      <c r="E60" t="s">
        <v>164</v>
      </c>
      <c r="F60" t="s">
        <v>9</v>
      </c>
      <c r="G60">
        <v>0.50960000000000005</v>
      </c>
      <c r="H60">
        <f>Accurate_Eval[[#This Row],[Qty]]*Accurate_Eval[[#This Row],[Unit Price]]</f>
        <v>2.0384000000000002</v>
      </c>
    </row>
    <row r="61" spans="1:8" x14ac:dyDescent="0.25">
      <c r="A61" s="1">
        <v>61</v>
      </c>
      <c r="B61" t="s">
        <v>165</v>
      </c>
      <c r="C61">
        <v>1</v>
      </c>
      <c r="D61" t="s">
        <v>166</v>
      </c>
      <c r="E61" t="s">
        <v>167</v>
      </c>
      <c r="F61" t="s">
        <v>9</v>
      </c>
      <c r="G61">
        <v>0.94799999999999995</v>
      </c>
      <c r="H61">
        <f>Accurate_Eval[[#This Row],[Qty]]*Accurate_Eval[[#This Row],[Unit Price]]</f>
        <v>0.94799999999999995</v>
      </c>
    </row>
    <row r="62" spans="1:8" x14ac:dyDescent="0.25">
      <c r="A62" s="3">
        <v>62</v>
      </c>
      <c r="B62" t="s">
        <v>168</v>
      </c>
      <c r="C62">
        <v>2</v>
      </c>
      <c r="D62" t="s">
        <v>169</v>
      </c>
      <c r="E62" t="s">
        <v>170</v>
      </c>
      <c r="F62" t="s">
        <v>9</v>
      </c>
      <c r="G62">
        <v>1.5599999999999999E-2</v>
      </c>
      <c r="H62">
        <f>Accurate_Eval[[#This Row],[Qty]]*Accurate_Eval[[#This Row],[Unit Price]]</f>
        <v>3.1199999999999999E-2</v>
      </c>
    </row>
    <row r="63" spans="1:8" x14ac:dyDescent="0.25">
      <c r="A63" s="3">
        <v>63</v>
      </c>
      <c r="B63" t="s">
        <v>212</v>
      </c>
      <c r="C63">
        <v>13</v>
      </c>
      <c r="D63" t="s">
        <v>171</v>
      </c>
      <c r="E63" t="s">
        <v>170</v>
      </c>
      <c r="F63" t="s">
        <v>9</v>
      </c>
      <c r="G63">
        <v>9.5399999999999999E-3</v>
      </c>
      <c r="H63">
        <f>Accurate_Eval[[#This Row],[Qty]]*Accurate_Eval[[#This Row],[Unit Price]]</f>
        <v>0.12401999999999999</v>
      </c>
    </row>
    <row r="64" spans="1:8" x14ac:dyDescent="0.25">
      <c r="A64" s="3">
        <v>64</v>
      </c>
      <c r="B64" t="s">
        <v>172</v>
      </c>
      <c r="C64">
        <v>8</v>
      </c>
      <c r="D64" t="s">
        <v>173</v>
      </c>
      <c r="E64" t="s">
        <v>170</v>
      </c>
      <c r="F64" t="s">
        <v>9</v>
      </c>
      <c r="G64">
        <v>1.3899999999999999E-2</v>
      </c>
      <c r="H64">
        <f>Accurate_Eval[[#This Row],[Qty]]*Accurate_Eval[[#This Row],[Unit Price]]</f>
        <v>0.11119999999999999</v>
      </c>
    </row>
    <row r="65" spans="1:10" x14ac:dyDescent="0.25">
      <c r="A65" s="3">
        <v>65</v>
      </c>
      <c r="B65" t="s">
        <v>174</v>
      </c>
      <c r="C65">
        <v>2</v>
      </c>
      <c r="D65" t="s">
        <v>175</v>
      </c>
      <c r="E65" t="s">
        <v>170</v>
      </c>
      <c r="F65" t="s">
        <v>9</v>
      </c>
      <c r="G65">
        <v>1.5599999999999999E-2</v>
      </c>
      <c r="H65">
        <f>Accurate_Eval[[#This Row],[Qty]]*Accurate_Eval[[#This Row],[Unit Price]]</f>
        <v>3.1199999999999999E-2</v>
      </c>
    </row>
    <row r="66" spans="1:10" x14ac:dyDescent="0.25">
      <c r="A66" s="3">
        <v>66</v>
      </c>
      <c r="B66" t="s">
        <v>176</v>
      </c>
      <c r="C66">
        <v>5</v>
      </c>
      <c r="D66" t="s">
        <v>177</v>
      </c>
      <c r="E66" t="s">
        <v>170</v>
      </c>
      <c r="F66" t="s">
        <v>9</v>
      </c>
      <c r="G66">
        <v>1.4E-2</v>
      </c>
      <c r="H66">
        <f>Accurate_Eval[[#This Row],[Qty]]*Accurate_Eval[[#This Row],[Unit Price]]</f>
        <v>7.0000000000000007E-2</v>
      </c>
    </row>
    <row r="67" spans="1:10" x14ac:dyDescent="0.25">
      <c r="A67" s="3">
        <v>68</v>
      </c>
      <c r="B67" t="s">
        <v>178</v>
      </c>
      <c r="C67">
        <v>3</v>
      </c>
      <c r="D67" t="s">
        <v>179</v>
      </c>
      <c r="E67" t="s">
        <v>170</v>
      </c>
      <c r="F67" t="s">
        <v>9</v>
      </c>
      <c r="G67">
        <v>1.4E-2</v>
      </c>
      <c r="H67">
        <f>Accurate_Eval[[#This Row],[Qty]]*Accurate_Eval[[#This Row],[Unit Price]]</f>
        <v>4.2000000000000003E-2</v>
      </c>
    </row>
    <row r="68" spans="1:10" x14ac:dyDescent="0.25">
      <c r="A68" s="3">
        <v>69</v>
      </c>
      <c r="B68" t="s">
        <v>180</v>
      </c>
      <c r="C68">
        <v>4</v>
      </c>
      <c r="D68" t="s">
        <v>181</v>
      </c>
      <c r="E68" t="s">
        <v>170</v>
      </c>
      <c r="F68" t="s">
        <v>9</v>
      </c>
      <c r="G68">
        <v>1.4E-2</v>
      </c>
      <c r="H68">
        <f>Accurate_Eval[[#This Row],[Qty]]*Accurate_Eval[[#This Row],[Unit Price]]</f>
        <v>5.6000000000000001E-2</v>
      </c>
    </row>
    <row r="69" spans="1:10" x14ac:dyDescent="0.25">
      <c r="A69" s="3">
        <v>70</v>
      </c>
      <c r="B69" t="s">
        <v>182</v>
      </c>
      <c r="C69">
        <v>1</v>
      </c>
      <c r="D69" t="s">
        <v>183</v>
      </c>
      <c r="E69" t="s">
        <v>170</v>
      </c>
      <c r="F69" t="s">
        <v>9</v>
      </c>
      <c r="G69">
        <v>1.5599999999999999E-2</v>
      </c>
      <c r="H69">
        <f>Accurate_Eval[[#This Row],[Qty]]*Accurate_Eval[[#This Row],[Unit Price]]</f>
        <v>1.5599999999999999E-2</v>
      </c>
    </row>
    <row r="70" spans="1:10" x14ac:dyDescent="0.25">
      <c r="A70" s="2">
        <v>71</v>
      </c>
      <c r="B70" t="s">
        <v>184</v>
      </c>
      <c r="C70">
        <v>4</v>
      </c>
      <c r="D70" t="s">
        <v>185</v>
      </c>
      <c r="E70" t="s">
        <v>170</v>
      </c>
      <c r="F70" t="s">
        <v>5</v>
      </c>
      <c r="G70">
        <v>0</v>
      </c>
      <c r="H70">
        <f>Accurate_Eval[[#This Row],[Qty]]*Accurate_Eval[[#This Row],[Unit Price]]</f>
        <v>0</v>
      </c>
    </row>
    <row r="71" spans="1:10" x14ac:dyDescent="0.25">
      <c r="A71" s="3">
        <v>72</v>
      </c>
      <c r="B71" t="s">
        <v>186</v>
      </c>
      <c r="C71">
        <v>2</v>
      </c>
      <c r="D71" t="s">
        <v>185</v>
      </c>
      <c r="E71" t="s">
        <v>170</v>
      </c>
      <c r="F71" t="s">
        <v>9</v>
      </c>
      <c r="G71">
        <v>1.66E-2</v>
      </c>
      <c r="H71">
        <f>Accurate_Eval[[#This Row],[Qty]]*Accurate_Eval[[#This Row],[Unit Price]]</f>
        <v>3.32E-2</v>
      </c>
    </row>
    <row r="72" spans="1:10" x14ac:dyDescent="0.25">
      <c r="A72" s="3">
        <v>73</v>
      </c>
      <c r="B72" t="s">
        <v>187</v>
      </c>
      <c r="C72">
        <v>1</v>
      </c>
      <c r="D72" t="s">
        <v>188</v>
      </c>
      <c r="E72" t="s">
        <v>170</v>
      </c>
      <c r="F72" t="s">
        <v>9</v>
      </c>
      <c r="G72">
        <v>1.66E-2</v>
      </c>
      <c r="H72">
        <f>Accurate_Eval[[#This Row],[Qty]]*Accurate_Eval[[#This Row],[Unit Price]]</f>
        <v>1.66E-2</v>
      </c>
    </row>
    <row r="73" spans="1:10" x14ac:dyDescent="0.25">
      <c r="A73" s="3">
        <v>74</v>
      </c>
      <c r="B73" t="s">
        <v>207</v>
      </c>
      <c r="C73">
        <v>15</v>
      </c>
      <c r="D73" t="s">
        <v>189</v>
      </c>
      <c r="E73" t="s">
        <v>170</v>
      </c>
      <c r="F73" t="s">
        <v>9</v>
      </c>
      <c r="G73">
        <v>7.5799999999999999E-3</v>
      </c>
      <c r="H73">
        <f>Accurate_Eval[[#This Row],[Qty]]*Accurate_Eval[[#This Row],[Unit Price]]</f>
        <v>0.1137</v>
      </c>
    </row>
    <row r="74" spans="1:10" x14ac:dyDescent="0.25">
      <c r="A74" s="3">
        <v>76</v>
      </c>
      <c r="B74" t="s">
        <v>190</v>
      </c>
      <c r="C74">
        <v>1</v>
      </c>
      <c r="D74" t="s">
        <v>191</v>
      </c>
      <c r="E74" t="s">
        <v>192</v>
      </c>
      <c r="F74" t="s">
        <v>9</v>
      </c>
      <c r="G74">
        <v>3.8176000000000001</v>
      </c>
      <c r="H74">
        <f>Accurate_Eval[[#This Row],[Qty]]*Accurate_Eval[[#This Row],[Unit Price]]</f>
        <v>3.8176000000000001</v>
      </c>
    </row>
    <row r="75" spans="1:10" x14ac:dyDescent="0.25">
      <c r="A75" s="1">
        <v>77</v>
      </c>
      <c r="B75" t="s">
        <v>193</v>
      </c>
      <c r="C75">
        <v>8</v>
      </c>
      <c r="D75" t="s">
        <v>194</v>
      </c>
      <c r="E75" t="s">
        <v>195</v>
      </c>
      <c r="F75" t="s">
        <v>9</v>
      </c>
      <c r="G75">
        <v>0.28210000000000002</v>
      </c>
      <c r="H75">
        <f>Accurate_Eval[[#This Row],[Qty]]*Accurate_Eval[[#This Row],[Unit Price]]</f>
        <v>2.2568000000000001</v>
      </c>
    </row>
    <row r="76" spans="1:10" x14ac:dyDescent="0.25">
      <c r="A76" s="3">
        <v>78</v>
      </c>
      <c r="B76" t="s">
        <v>196</v>
      </c>
      <c r="C76">
        <v>1</v>
      </c>
      <c r="D76" t="s">
        <v>197</v>
      </c>
      <c r="E76" t="s">
        <v>198</v>
      </c>
      <c r="F76" t="s">
        <v>9</v>
      </c>
      <c r="G76">
        <v>0.39700000000000002</v>
      </c>
      <c r="H76">
        <f>Accurate_Eval[[#This Row],[Qty]]*Accurate_Eval[[#This Row],[Unit Price]]</f>
        <v>0.39700000000000002</v>
      </c>
    </row>
    <row r="77" spans="1:10" x14ac:dyDescent="0.25">
      <c r="A77" s="3">
        <v>79</v>
      </c>
      <c r="B77" t="s">
        <v>199</v>
      </c>
      <c r="C77">
        <v>1</v>
      </c>
      <c r="D77" t="s">
        <v>200</v>
      </c>
      <c r="E77" t="s">
        <v>201</v>
      </c>
      <c r="F77" t="s">
        <v>9</v>
      </c>
      <c r="G77">
        <v>0.161</v>
      </c>
      <c r="H77">
        <f>Accurate_Eval[[#This Row],[Qty]]*Accurate_Eval[[#This Row],[Unit Price]]</f>
        <v>0.161</v>
      </c>
    </row>
    <row r="78" spans="1:10" x14ac:dyDescent="0.25">
      <c r="A78" s="2">
        <v>80</v>
      </c>
      <c r="B78" t="s">
        <v>202</v>
      </c>
      <c r="C78">
        <v>29</v>
      </c>
      <c r="D78" t="s">
        <v>203</v>
      </c>
      <c r="E78" t="s">
        <v>204</v>
      </c>
      <c r="F78" t="s">
        <v>9</v>
      </c>
      <c r="G78">
        <v>0</v>
      </c>
      <c r="H78">
        <f>Accurate_Eval[[#This Row],[Qty]]*Accurate_Eval[[#This Row],[Unit Price]]</f>
        <v>0</v>
      </c>
    </row>
    <row r="79" spans="1:10" x14ac:dyDescent="0.25">
      <c r="H79" s="5">
        <f>SUBTOTAL(109,Accurate_Eval[Total Price])</f>
        <v>124.73381999999995</v>
      </c>
    </row>
    <row r="80" spans="1:10" x14ac:dyDescent="0.25">
      <c r="H80" s="4">
        <f>Accurate_Eval[[#Totals],[Total Price]]*J81</f>
        <v>109.76576159999996</v>
      </c>
      <c r="J80" t="s">
        <v>215</v>
      </c>
    </row>
    <row r="81" spans="10:10" x14ac:dyDescent="0.25">
      <c r="J81">
        <v>0.88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0FE3-5B3D-4B73-AD46-65AC2D0569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97047-5974-40BB-89CC-304645547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Accurate_Eval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Haakon Liverud</dc:creator>
  <cp:lastModifiedBy>Haakon Liverud</cp:lastModifiedBy>
  <dcterms:created xsi:type="dcterms:W3CDTF">2023-11-27T13:40:36Z</dcterms:created>
  <dcterms:modified xsi:type="dcterms:W3CDTF">2023-12-14T09:32:04Z</dcterms:modified>
</cp:coreProperties>
</file>